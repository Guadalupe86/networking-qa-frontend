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Pruebas" sheetId="1" state="visible" r:id="rId3"/>
    <sheet name="Dashboard" sheetId="2" state="visible" r:id="rId4"/>
    <sheet name="README - GitHub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<sst xmlns="http://schemas.openxmlformats.org/spreadsheetml/2006/main" count="160" uniqueCount="132">
  <si>
    <t xml:space="preserve">MATRIZ DE PRUEBAS — PROYECTO SAP MM | GRUPO GONHER</t>
  </si>
  <si>
    <t xml:space="preserve">QA Tester: Misael Antunez  |  Módulo: SAP MM (Materials Management)  |  Sistema: SAP ECC  |  Herramienta: Jira / OpenSer</t>
  </si>
  <si>
    <t xml:space="preserve">ID Caso</t>
  </si>
  <si>
    <t xml:space="preserve">Módulo SAP</t>
  </si>
  <si>
    <t xml:space="preserve">Funcionalidad</t>
  </si>
  <si>
    <t xml:space="preserve">Descripción del Caso</t>
  </si>
  <si>
    <t xml:space="preserve">TX / Ruta SAP</t>
  </si>
  <si>
    <t xml:space="preserve">Precondiciones</t>
  </si>
  <si>
    <t xml:space="preserve">Pasos a Seguir</t>
  </si>
  <si>
    <t xml:space="preserve">Resultado Esperado</t>
  </si>
  <si>
    <t xml:space="preserve">Resultado Actual</t>
  </si>
  <si>
    <t xml:space="preserve">Evidencia</t>
  </si>
  <si>
    <t xml:space="preserve">Estado</t>
  </si>
  <si>
    <t xml:space="preserve">Prioridad</t>
  </si>
  <si>
    <t xml:space="preserve">Defecto/Ticket</t>
  </si>
  <si>
    <t xml:space="preserve">Observaciones</t>
  </si>
  <si>
    <t xml:space="preserve">TC-001</t>
  </si>
  <si>
    <t xml:space="preserve">SAP MM</t>
  </si>
  <si>
    <t xml:space="preserve">Creación de Material (SKU)</t>
  </si>
  <si>
    <t xml:space="preserve">Verificar que un nuevo material (SKU) se crea correctamente en SAP y queda disponible para consulta.</t>
  </si>
  <si>
    <t xml:space="preserve">MM01</t>
  </si>
  <si>
    <t xml:space="preserve">Usuario con perfil de Analista de Materiales. SAP activo y accesible.</t>
  </si>
  <si>
    <t xml:space="preserve">1. Ingresar TX MM01
2. Seleccionar tipo de material (FERT)
3. Capturar centro y almacén
4. Llenar vistas: Básica, Ventas, MRP
5. Guardar
6. Confirmar número de material generado</t>
  </si>
  <si>
    <t xml:space="preserve">Material creado exitosamente con número asignado. Visible en MM03.</t>
  </si>
  <si>
    <t xml:space="preserve">Material creado. Número: 4500012345</t>
  </si>
  <si>
    <t xml:space="preserve">Captura_TC001.png</t>
  </si>
  <si>
    <t xml:space="preserve">PASS</t>
  </si>
  <si>
    <t xml:space="preserve">Alta</t>
  </si>
  <si>
    <t xml:space="preserve">—</t>
  </si>
  <si>
    <t xml:space="preserve">Caso base para pruebas posteriores</t>
  </si>
  <si>
    <t xml:space="preserve">TC-002</t>
  </si>
  <si>
    <t xml:space="preserve">Consulta de Material (SKU)</t>
  </si>
  <si>
    <t xml:space="preserve">Verificar que el material creado en TC-001 se puede consultar con todos sus datos correctos.</t>
  </si>
  <si>
    <t xml:space="preserve">MM03</t>
  </si>
  <si>
    <t xml:space="preserve">Material TC-001 creado previamente.</t>
  </si>
  <si>
    <t xml:space="preserve">1. Ingresar TX MM03
2. Ingresar número de material 4500012345
3. Seleccionar vistas a visualizar
4. Verificar campos: descripción, unidad, precio, grupo de artículos</t>
  </si>
  <si>
    <t xml:space="preserve">Se despliegan correctamente todos los datos del material sin errores.</t>
  </si>
  <si>
    <t xml:space="preserve">Datos visualizados correctamente en todas las vistas.</t>
  </si>
  <si>
    <t xml:space="preserve">Captura_TC002.png</t>
  </si>
  <si>
    <t xml:space="preserve">Prueba de regresión después de TC-001</t>
  </si>
  <si>
    <t xml:space="preserve">TC-003</t>
  </si>
  <si>
    <t xml:space="preserve">Reflejo de SKU en Portal Web</t>
  </si>
  <si>
    <t xml:space="preserve">Verificar que el material creado en SAP se refleja correctamente en el portal web/móvil de ventas para que el cliente pueda visualizarlo.</t>
  </si>
  <si>
    <t xml:space="preserve">MM03 + Portal Web</t>
  </si>
  <si>
    <t xml:space="preserve">Material activo en SAP. Portal web disponible. SKU publicado en catálogo.</t>
  </si>
  <si>
    <t xml:space="preserve">1. Consultar material en MM03 y confirmar estatus activo
2. Ingresar al portal web como cliente
3. Buscar SKU por código o descripción
4. Verificar imagen, precio, descripción y disponibilidad
5. Comparar datos SAP vs Portal</t>
  </si>
  <si>
    <t xml:space="preserve">SKU visible en el portal con datos idénticos a SAP: descripción, precio e imagen correctos.</t>
  </si>
  <si>
    <t xml:space="preserve">SKU visible y datos coinciden con SAP al 100%.</t>
  </si>
  <si>
    <t xml:space="preserve">Captura_TC003.png</t>
  </si>
  <si>
    <t xml:space="preserve">Caso crítico de integración SAP ↔ Portal</t>
  </si>
  <si>
    <t xml:space="preserve">TC-004</t>
  </si>
  <si>
    <t xml:space="preserve">SKU NO refleja en Portal — Bug</t>
  </si>
  <si>
    <t xml:space="preserve">Detectar y documentar el defecto cuando un material activo en SAP NO aparece en el portal web/móvil.</t>
  </si>
  <si>
    <t xml:space="preserve">Material activo en SAP. Portal disponible.</t>
  </si>
  <si>
    <t xml:space="preserve">1. Confirmar material activo en MM03
2. Buscar SKU en portal web
3. Verificar si aparece el resultado
4. Si no aparece: documentar bug con evidencia
5. Reportar a consultores SAP con matriz</t>
  </si>
  <si>
    <t xml:space="preserve">SKU debe aparecer en el portal idéntico a SAP.</t>
  </si>
  <si>
    <t xml:space="preserve">SKU NO encontrado en portal. Error: producto no disponible.</t>
  </si>
  <si>
    <t xml:space="preserve">Captura_TC004_BUG.png</t>
  </si>
  <si>
    <t xml:space="preserve">FAIL</t>
  </si>
  <si>
    <t xml:space="preserve">JIRA-0241</t>
  </si>
  <si>
    <t xml:space="preserve">Bug reportado a consultores. Causa: campo de publicación en MM sin activar</t>
  </si>
  <si>
    <t xml:space="preserve">TC-005</t>
  </si>
  <si>
    <t xml:space="preserve">Carga de Inventario — Movimiento de Entrada</t>
  </si>
  <si>
    <t xml:space="preserve">Verificar que al registrar una entrada de mercancía en MIGO el stock se actualiza correctamente en el sistema.</t>
  </si>
  <si>
    <t xml:space="preserve">MIGO / MB51</t>
  </si>
  <si>
    <t xml:space="preserve">Orden de compra o producción existente. Usuario con perfil de almacén.</t>
  </si>
  <si>
    <t xml:space="preserve">1. Ingresar TX MIGO
2. Seleccionar 'Entrada de Mercancías'
3. Referenciar orden de producción
4. Capturar cantidad y almacén
5. Confirmar movimiento
6. Verificar stock actualizado en MB52</t>
  </si>
  <si>
    <t xml:space="preserve">Stock del material aumenta correctamente según la cantidad registrada. Documento de material generado.</t>
  </si>
  <si>
    <t xml:space="preserve">Stock actualizado. Documento 4900067890 generado.</t>
  </si>
  <si>
    <t xml:space="preserve">Captura_TC005.png</t>
  </si>
  <si>
    <t xml:space="preserve">Validado con área de producción en reunión semanal</t>
  </si>
  <si>
    <t xml:space="preserve">TC-006</t>
  </si>
  <si>
    <t xml:space="preserve">Verificación de Stock en Almacén</t>
  </si>
  <si>
    <t xml:space="preserve">Consultar el stock actual de un material en el almacén y verificar que coincide con lo físico reportado por producción.</t>
  </si>
  <si>
    <t xml:space="preserve">MB52 / MB51</t>
  </si>
  <si>
    <t xml:space="preserve">Movimientos de inventario registrados previamente.</t>
  </si>
  <si>
    <t xml:space="preserve">1. Ingresar TX MB52
2. Capturar número de material y centro
3. Ejecutar consulta
4. Comparar stock SAP vs reporte físico de producción
5. Documentar diferencias si existen</t>
  </si>
  <si>
    <t xml:space="preserve">Stock en SAP coincide con inventario físico reportado por producción.</t>
  </si>
  <si>
    <t xml:space="preserve">Stock SAP: 500 pzas. Stock físico: 500 pzas. ✓ Sin diferencias.</t>
  </si>
  <si>
    <t xml:space="preserve">Captura_TC006.png</t>
  </si>
  <si>
    <t xml:space="preserve">Media</t>
  </si>
  <si>
    <t xml:space="preserve">Revisión mensual con área de producción</t>
  </si>
  <si>
    <t xml:space="preserve">TC-007</t>
  </si>
  <si>
    <t xml:space="preserve">Modificación de Material — Precio</t>
  </si>
  <si>
    <t xml:space="preserve">Verificar que al modificar el precio de un material en SAP, el cambio se refleja correctamente en el portal web.</t>
  </si>
  <si>
    <t xml:space="preserve">MM02 + Portal Web</t>
  </si>
  <si>
    <t xml:space="preserve">Material existente con precio anterior. Usuario con perfil para modificar materiales.</t>
  </si>
  <si>
    <t xml:space="preserve">1. Ingresar TX MM02
2. Seleccionar material y vista de Contabilidad
3. Modificar precio estándar
4. Guardar cambios
5. Ingresar al portal web
6. Verificar que el nuevo precio se muestra</t>
  </si>
  <si>
    <t xml:space="preserve">Nuevo precio visible en portal web en menos de 5 minutos después del cambio en SAP.</t>
  </si>
  <si>
    <t xml:space="preserve">Precio actualizado en portal después de 3 minutos. Dato correcto.</t>
  </si>
  <si>
    <t xml:space="preserve">Captura_TC007.png</t>
  </si>
  <si>
    <t xml:space="preserve">Tiempo de sincronización: 3 min aprox.</t>
  </si>
  <si>
    <t xml:space="preserve">TC-008</t>
  </si>
  <si>
    <t xml:space="preserve">Prueba UAT — Validación con Área de Ventas</t>
  </si>
  <si>
    <t xml:space="preserve">Sesión UAT con el equipo de ventas para validar el proceso end-to-end: desde carga de SKU en SAP hasta visualización en portal y generación de pedido.</t>
  </si>
  <si>
    <t xml:space="preserve">MM01 / MM03 / Portal Web</t>
  </si>
  <si>
    <t xml:space="preserve">SKUs de prueba preparados. Usuarios de ventas disponibles. Ambiente de pruebas activo.</t>
  </si>
  <si>
    <t xml:space="preserve">1. Presentar matriz de pruebas al equipo de ventas
2. Ejecutar caso TC-001 al TC-007 en ambiente de pruebas
3. Solicitar validación del usuario de negocio
4. Documentar aceptación o rechazo
5. Registrar firmas de conformidad</t>
  </si>
  <si>
    <t xml:space="preserve">Usuarios de ventas validan y aprueban todos los procesos. Sign-off obtenido.</t>
  </si>
  <si>
    <t xml:space="preserve">UAT aprobada. 7/8 casos PASS. 1 defecto menor en TC-004 ya reportado.</t>
  </si>
  <si>
    <t xml:space="preserve">Acta_UAT_Ventas.pdf</t>
  </si>
  <si>
    <t xml:space="preserve">UAT ejecutada viernes en reunión semanal con 5 usuarios de ventas</t>
  </si>
  <si>
    <t xml:space="preserve">DASHBOARD — RESUMEN DE EJECUCIÓN QA</t>
  </si>
  <si>
    <t xml:space="preserve">Total Casos</t>
  </si>
  <si>
    <t xml:space="preserve">Prioridad Alta</t>
  </si>
  <si>
    <t xml:space="preserve">% Éxito</t>
  </si>
  <si>
    <t xml:space="preserve">MATRIZ DE PRUEBAS SAP MM — Misael Antunez | QA Tester Funcional</t>
  </si>
  <si>
    <t xml:space="preserve">📋 DESCRIPCIÓN DEL PROYECTO</t>
  </si>
  <si>
    <t xml:space="preserve">Matriz de casos de prueba funcionales ejecutados durante mi experiencia como Analista TI / QA</t>
  </si>
  <si>
    <t xml:space="preserve">en Grupo Gonher, validando la integración entre SAP MM y el portal web/móvil de ventas.</t>
  </si>
  <si>
    <t xml:space="preserve">🏢 CONTEXTO</t>
  </si>
  <si>
    <t xml:space="preserve">Empresa: Grupo Gonher  |  Rol: Analista Comercial TI / QA  |  Sistema: SAP ECC + Portal Web/Móvil</t>
  </si>
  <si>
    <t xml:space="preserve">Módulo SAP: MM (Materials Management)  |  Herramientas: Jira, OpenSer, SAP GUI</t>
  </si>
  <si>
    <t xml:space="preserve">🧪 CASOS DE PRUEBA INCLUIDOS</t>
  </si>
  <si>
    <t xml:space="preserve">TC-001 | Creación de Material (SKU) en SAP MM — TX: MM01</t>
  </si>
  <si>
    <t xml:space="preserve">TC-002 | Consulta de Material — TX: MM03 (Prueba de Regresión)</t>
  </si>
  <si>
    <t xml:space="preserve">TC-003 | Reflejo de SKU en Portal Web/Móvil — Integración SAP ↔ Portal</t>
  </si>
  <si>
    <t xml:space="preserve">TC-004 | Bug: SKU NO refleja en Portal — Defecto documentado y reportado</t>
  </si>
  <si>
    <t xml:space="preserve">TC-005 | Carga de Inventario — Entrada de Mercancía TX: MIGO/MB51</t>
  </si>
  <si>
    <t xml:space="preserve">TC-006 | Verificación de Stock en Almacén — TX: MB52</t>
  </si>
  <si>
    <t xml:space="preserve">TC-007 | Modificación de Precio en SAP y reflejo en Portal</t>
  </si>
  <si>
    <t xml:space="preserve">TC-008 | Prueba UAT con Área de Ventas — Sign-off obtenido</t>
  </si>
  <si>
    <t xml:space="preserve">📊 RESULTADOS</t>
  </si>
  <si>
    <t xml:space="preserve">Total Casos: 8  |  PASS: 7  |  FAIL: 1  |  % Éxito: 87.5%</t>
  </si>
  <si>
    <t xml:space="preserve">Defecto FAIL: TC-004 — Reportado en Jira (JIRA-0241) y resuelto por consultores SAP</t>
  </si>
  <si>
    <t xml:space="preserve">🛠️ HABILIDADES DEMOSTRADAS</t>
  </si>
  <si>
    <t xml:space="preserve">✅ Diseño y ejecución de casos de prueba funcionales en SAP MM</t>
  </si>
  <si>
    <t xml:space="preserve">✅ Pruebas de integración SAP ↔ Portal Web/Móvil</t>
  </si>
  <si>
    <t xml:space="preserve">✅ Documentación de defectos con evidencia y seguimiento en Jira</t>
  </si>
  <si>
    <t xml:space="preserve">✅ Ejecución de pruebas UAT con usuarios de negocio (Ventas, Producción)</t>
  </si>
  <si>
    <t xml:space="preserve">✅ Detección de huecos funcionales y comunicación con consultores SAP</t>
  </si>
  <si>
    <t xml:space="preserve">✅ Gestión de tickets con tiempos SLA en OpenSer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</si>
</sst>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2E75B6"/>
      <name val="Arial"/>
      <family val="0"/>
      <charset val="1"/>
    </font>
    <font>
      <sz val="8"/>
      <name val="Arial"/>
      <family val="0"/>
      <charset val="1"/>
    </font>
    <font>
      <b val="true"/>
      <sz val="8"/>
      <color rgb="FF276221"/>
      <name val="Arial"/>
      <family val="0"/>
      <charset val="1"/>
    </font>
    <font>
      <b val="true"/>
      <sz val="8"/>
      <color rgb="FF9C0006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2E75B6"/>
      <name val="Arial"/>
      <family val="0"/>
      <charset val="1"/>
    </font>
    <font>
      <b val="true"/>
      <sz val="22"/>
      <color rgb="FF1A7340"/>
      <name val="Arial"/>
      <family val="0"/>
      <charset val="1"/>
    </font>
    <font>
      <b val="true"/>
      <sz val="22"/>
      <color rgb="FFC00000"/>
      <name val="Arial"/>
      <family val="0"/>
      <charset val="1"/>
    </font>
    <font>
      <b val="true"/>
      <sz val="22"/>
      <color rgb="FFC55A11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C6EFCE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FEB9C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2F2F2"/>
      </patternFill>
    </fill>
    <fill>
      <patternFill patternType="solid">
        <fgColor rgb="FF1A7340"/>
        <bgColor rgb="FF276221"/>
      </patternFill>
    </fill>
    <fill>
      <patternFill patternType="solid">
        <fgColor rgb="FFC00000"/>
        <bgColor rgb="FF9C0006"/>
      </patternFill>
    </fill>
    <fill>
      <patternFill patternType="solid">
        <fgColor rgb="FFC55A11"/>
        <bgColor rgb="FF99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medium">
        <color rgb="FF2E75B6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medium">
        <color rgb="FF2E75B6"/>
      </left>
      <right/>
      <top style="medium">
        <color rgb="FF2E75B6"/>
      </top>
      <bottom style="medium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1A734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762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35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45"/>
    <col collapsed="false" customWidth="true" hidden="false" outlineLevel="0" max="9" min="8" style="0" width="35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7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54.75" hidden="false" customHeight="true" outlineLevel="0" collapsed="false">
      <c r="A4" s="4" t="s">
        <v>16</v>
      </c>
      <c r="B4" s="5" t="s">
        <v>17</v>
      </c>
      <c r="C4" s="6" t="s">
        <v>18</v>
      </c>
      <c r="D4" s="6" t="s">
        <v>19</v>
      </c>
      <c r="E4" s="5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5" t="s">
        <v>25</v>
      </c>
      <c r="K4" s="7" t="s">
        <v>26</v>
      </c>
      <c r="L4" s="8" t="s">
        <v>27</v>
      </c>
      <c r="M4" s="5" t="s">
        <v>28</v>
      </c>
      <c r="N4" s="6" t="s">
        <v>29</v>
      </c>
    </row>
    <row r="5" customFormat="false" ht="54.75" hidden="false" customHeight="true" outlineLevel="0" collapsed="false">
      <c r="A5" s="4" t="s">
        <v>30</v>
      </c>
      <c r="B5" s="9" t="s">
        <v>17</v>
      </c>
      <c r="C5" s="10" t="s">
        <v>31</v>
      </c>
      <c r="D5" s="10" t="s">
        <v>32</v>
      </c>
      <c r="E5" s="9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9" t="s">
        <v>38</v>
      </c>
      <c r="K5" s="7" t="s">
        <v>26</v>
      </c>
      <c r="L5" s="8" t="s">
        <v>27</v>
      </c>
      <c r="M5" s="9" t="s">
        <v>28</v>
      </c>
      <c r="N5" s="10" t="s">
        <v>39</v>
      </c>
    </row>
    <row r="6" customFormat="false" ht="54.75" hidden="false" customHeight="true" outlineLevel="0" collapsed="false">
      <c r="A6" s="4" t="s">
        <v>40</v>
      </c>
      <c r="B6" s="5" t="s">
        <v>17</v>
      </c>
      <c r="C6" s="6" t="s">
        <v>41</v>
      </c>
      <c r="D6" s="6" t="s">
        <v>42</v>
      </c>
      <c r="E6" s="5" t="s">
        <v>43</v>
      </c>
      <c r="F6" s="6" t="s">
        <v>44</v>
      </c>
      <c r="G6" s="6" t="s">
        <v>45</v>
      </c>
      <c r="H6" s="6" t="s">
        <v>46</v>
      </c>
      <c r="I6" s="6" t="s">
        <v>47</v>
      </c>
      <c r="J6" s="5" t="s">
        <v>48</v>
      </c>
      <c r="K6" s="7" t="s">
        <v>26</v>
      </c>
      <c r="L6" s="8" t="s">
        <v>27</v>
      </c>
      <c r="M6" s="5" t="s">
        <v>28</v>
      </c>
      <c r="N6" s="6" t="s">
        <v>49</v>
      </c>
    </row>
    <row r="7" customFormat="false" ht="54.75" hidden="false" customHeight="true" outlineLevel="0" collapsed="false">
      <c r="A7" s="4" t="s">
        <v>50</v>
      </c>
      <c r="B7" s="9" t="s">
        <v>17</v>
      </c>
      <c r="C7" s="10" t="s">
        <v>51</v>
      </c>
      <c r="D7" s="10" t="s">
        <v>52</v>
      </c>
      <c r="E7" s="9" t="s">
        <v>43</v>
      </c>
      <c r="F7" s="10" t="s">
        <v>53</v>
      </c>
      <c r="G7" s="10" t="s">
        <v>54</v>
      </c>
      <c r="H7" s="10" t="s">
        <v>55</v>
      </c>
      <c r="I7" s="10" t="s">
        <v>56</v>
      </c>
      <c r="J7" s="9" t="s">
        <v>57</v>
      </c>
      <c r="K7" s="8" t="s">
        <v>58</v>
      </c>
      <c r="L7" s="8" t="s">
        <v>27</v>
      </c>
      <c r="M7" s="9" t="s">
        <v>59</v>
      </c>
      <c r="N7" s="10" t="s">
        <v>60</v>
      </c>
    </row>
    <row r="8" customFormat="false" ht="54.75" hidden="false" customHeight="true" outlineLevel="0" collapsed="false">
      <c r="A8" s="4" t="s">
        <v>61</v>
      </c>
      <c r="B8" s="5" t="s">
        <v>17</v>
      </c>
      <c r="C8" s="6" t="s">
        <v>62</v>
      </c>
      <c r="D8" s="6" t="s">
        <v>63</v>
      </c>
      <c r="E8" s="5" t="s">
        <v>64</v>
      </c>
      <c r="F8" s="6" t="s">
        <v>65</v>
      </c>
      <c r="G8" s="6" t="s">
        <v>66</v>
      </c>
      <c r="H8" s="6" t="s">
        <v>67</v>
      </c>
      <c r="I8" s="6" t="s">
        <v>68</v>
      </c>
      <c r="J8" s="5" t="s">
        <v>69</v>
      </c>
      <c r="K8" s="7" t="s">
        <v>26</v>
      </c>
      <c r="L8" s="8" t="s">
        <v>27</v>
      </c>
      <c r="M8" s="5" t="s">
        <v>28</v>
      </c>
      <c r="N8" s="6" t="s">
        <v>70</v>
      </c>
    </row>
    <row r="9" customFormat="false" ht="54.75" hidden="false" customHeight="true" outlineLevel="0" collapsed="false">
      <c r="A9" s="4" t="s">
        <v>71</v>
      </c>
      <c r="B9" s="9" t="s">
        <v>17</v>
      </c>
      <c r="C9" s="10" t="s">
        <v>72</v>
      </c>
      <c r="D9" s="10" t="s">
        <v>73</v>
      </c>
      <c r="E9" s="9" t="s">
        <v>74</v>
      </c>
      <c r="F9" s="10" t="s">
        <v>75</v>
      </c>
      <c r="G9" s="10" t="s">
        <v>76</v>
      </c>
      <c r="H9" s="10" t="s">
        <v>77</v>
      </c>
      <c r="I9" s="10" t="s">
        <v>78</v>
      </c>
      <c r="J9" s="9" t="s">
        <v>79</v>
      </c>
      <c r="K9" s="7" t="s">
        <v>26</v>
      </c>
      <c r="L9" s="11" t="s">
        <v>80</v>
      </c>
      <c r="M9" s="9" t="s">
        <v>28</v>
      </c>
      <c r="N9" s="10" t="s">
        <v>81</v>
      </c>
    </row>
    <row r="10" customFormat="false" ht="54.75" hidden="false" customHeight="true" outlineLevel="0" collapsed="false">
      <c r="A10" s="4" t="s">
        <v>82</v>
      </c>
      <c r="B10" s="5" t="s">
        <v>17</v>
      </c>
      <c r="C10" s="6" t="s">
        <v>83</v>
      </c>
      <c r="D10" s="6" t="s">
        <v>84</v>
      </c>
      <c r="E10" s="5" t="s">
        <v>85</v>
      </c>
      <c r="F10" s="6" t="s">
        <v>86</v>
      </c>
      <c r="G10" s="6" t="s">
        <v>87</v>
      </c>
      <c r="H10" s="6" t="s">
        <v>88</v>
      </c>
      <c r="I10" s="6" t="s">
        <v>89</v>
      </c>
      <c r="J10" s="5" t="s">
        <v>90</v>
      </c>
      <c r="K10" s="7" t="s">
        <v>26</v>
      </c>
      <c r="L10" s="8" t="s">
        <v>27</v>
      </c>
      <c r="M10" s="5" t="s">
        <v>28</v>
      </c>
      <c r="N10" s="6" t="s">
        <v>91</v>
      </c>
    </row>
    <row r="11" customFormat="false" ht="54.75" hidden="false" customHeight="true" outlineLevel="0" collapsed="false">
      <c r="A11" s="4" t="s">
        <v>92</v>
      </c>
      <c r="B11" s="9" t="s">
        <v>17</v>
      </c>
      <c r="C11" s="10" t="s">
        <v>93</v>
      </c>
      <c r="D11" s="10" t="s">
        <v>94</v>
      </c>
      <c r="E11" s="9" t="s">
        <v>95</v>
      </c>
      <c r="F11" s="10" t="s">
        <v>96</v>
      </c>
      <c r="G11" s="10" t="s">
        <v>97</v>
      </c>
      <c r="H11" s="10" t="s">
        <v>98</v>
      </c>
      <c r="I11" s="10" t="s">
        <v>99</v>
      </c>
      <c r="J11" s="9" t="s">
        <v>100</v>
      </c>
      <c r="K11" s="7" t="s">
        <v>26</v>
      </c>
      <c r="L11" s="8" t="s">
        <v>27</v>
      </c>
      <c r="M11" s="9" t="s">
        <v>59</v>
      </c>
      <c r="N11" s="10" t="s">
        <v>101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2" style="0" width="14"/>
  </cols>
  <sheetData>
    <row r="2" customFormat="false" ht="36" hidden="false" customHeight="true" outlineLevel="0" collapsed="false">
      <c r="B2" s="12" t="s">
        <v>102</v>
      </c>
      <c r="C2" s="12"/>
      <c r="D2" s="12"/>
      <c r="E2" s="12"/>
      <c r="F2" s="12"/>
      <c r="G2" s="12"/>
      <c r="H2" s="12"/>
    </row>
    <row r="4" customFormat="false" ht="19.5" hidden="false" customHeight="true" outlineLevel="0" collapsed="false">
      <c r="B4" s="13" t="s">
        <v>103</v>
      </c>
      <c r="C4" s="13"/>
      <c r="D4" s="14" t="s">
        <v>26</v>
      </c>
      <c r="E4" s="14"/>
      <c r="F4" s="15" t="s">
        <v>58</v>
      </c>
      <c r="G4" s="15"/>
      <c r="H4" s="16" t="s">
        <v>104</v>
      </c>
      <c r="I4" s="16"/>
      <c r="J4" s="17" t="s">
        <v>105</v>
      </c>
      <c r="K4" s="17"/>
    </row>
    <row r="5" customFormat="false" ht="49.5" hidden="false" customHeight="true" outlineLevel="0" collapsed="false">
      <c r="B5" s="18" t="n">
        <f aca="false">COUNTA('Matriz de Pruebas'!A4:A11)</f>
        <v>8</v>
      </c>
      <c r="C5" s="18"/>
      <c r="D5" s="19" t="n">
        <f aca="false">COUNTIF('Matriz de Pruebas'!K4:K11,"PASS")</f>
        <v>7</v>
      </c>
      <c r="E5" s="19"/>
      <c r="F5" s="20" t="n">
        <f aca="false">COUNTIF('Matriz de Pruebas'!K4:K11,"FAIL")</f>
        <v>1</v>
      </c>
      <c r="G5" s="20"/>
      <c r="H5" s="21" t="n">
        <f aca="false">COUNTIF('Matriz de Pruebas'!L4:L11,"Alta")</f>
        <v>7</v>
      </c>
      <c r="I5" s="21"/>
      <c r="J5" s="22" t="n">
        <f aca="false">COUNTIF('Matriz de Pruebas'!K4:K11,"PASS")/COUNTA('Matriz de Pruebas'!A4:A11)</f>
        <v>0.875</v>
      </c>
      <c r="K5" s="22"/>
    </row>
    <row r="6" customFormat="false" ht="19.5" hidden="false" customHeight="true" outlineLevel="0" collapsed="false"/>
  </sheetData>
  <mergeCells count="11">
    <mergeCell ref="B2:H2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0"/>
  </cols>
  <sheetData>
    <row r="2" customFormat="false" ht="15.75" hidden="false" customHeight="true" outlineLevel="0" collapsed="false">
      <c r="B2" s="23" t="s">
        <v>106</v>
      </c>
    </row>
    <row r="3" customFormat="false" ht="7.5" hidden="false" customHeight="true" outlineLevel="0" collapsed="false">
      <c r="B3" s="24"/>
    </row>
    <row r="4" customFormat="false" ht="15.75" hidden="false" customHeight="true" outlineLevel="0" collapsed="false">
      <c r="B4" s="25" t="s">
        <v>107</v>
      </c>
    </row>
    <row r="5" customFormat="false" ht="15.75" hidden="false" customHeight="true" outlineLevel="0" collapsed="false">
      <c r="B5" s="26" t="s">
        <v>108</v>
      </c>
    </row>
    <row r="6" customFormat="false" ht="15.75" hidden="false" customHeight="true" outlineLevel="0" collapsed="false">
      <c r="B6" s="26" t="s">
        <v>109</v>
      </c>
    </row>
    <row r="7" customFormat="false" ht="7.5" hidden="false" customHeight="true" outlineLevel="0" collapsed="false">
      <c r="B7" s="24"/>
    </row>
    <row r="8" customFormat="false" ht="15.75" hidden="false" customHeight="true" outlineLevel="0" collapsed="false">
      <c r="B8" s="25" t="s">
        <v>110</v>
      </c>
    </row>
    <row r="9" customFormat="false" ht="15.75" hidden="false" customHeight="true" outlineLevel="0" collapsed="false">
      <c r="B9" s="26" t="s">
        <v>111</v>
      </c>
    </row>
    <row r="10" customFormat="false" ht="15.75" hidden="false" customHeight="true" outlineLevel="0" collapsed="false">
      <c r="B10" s="26" t="s">
        <v>112</v>
      </c>
    </row>
    <row r="11" customFormat="false" ht="7.5" hidden="false" customHeight="true" outlineLevel="0" collapsed="false">
      <c r="B11" s="24"/>
    </row>
    <row r="12" customFormat="false" ht="15.75" hidden="false" customHeight="true" outlineLevel="0" collapsed="false">
      <c r="B12" s="25" t="s">
        <v>113</v>
      </c>
    </row>
    <row r="13" customFormat="false" ht="15.75" hidden="false" customHeight="true" outlineLevel="0" collapsed="false">
      <c r="B13" s="26" t="s">
        <v>114</v>
      </c>
    </row>
    <row r="14" customFormat="false" ht="15.75" hidden="false" customHeight="true" outlineLevel="0" collapsed="false">
      <c r="B14" s="26" t="s">
        <v>115</v>
      </c>
    </row>
    <row r="15" customFormat="false" ht="15.75" hidden="false" customHeight="true" outlineLevel="0" collapsed="false">
      <c r="B15" s="26" t="s">
        <v>116</v>
      </c>
    </row>
    <row r="16" customFormat="false" ht="15.75" hidden="false" customHeight="true" outlineLevel="0" collapsed="false">
      <c r="B16" s="26" t="s">
        <v>117</v>
      </c>
    </row>
    <row r="17" customFormat="false" ht="15.75" hidden="false" customHeight="true" outlineLevel="0" collapsed="false">
      <c r="B17" s="26" t="s">
        <v>118</v>
      </c>
    </row>
    <row r="18" customFormat="false" ht="15.75" hidden="false" customHeight="true" outlineLevel="0" collapsed="false">
      <c r="B18" s="26" t="s">
        <v>119</v>
      </c>
    </row>
    <row r="19" customFormat="false" ht="15.75" hidden="false" customHeight="true" outlineLevel="0" collapsed="false">
      <c r="B19" s="26" t="s">
        <v>120</v>
      </c>
    </row>
    <row r="20" customFormat="false" ht="15.75" hidden="false" customHeight="true" outlineLevel="0" collapsed="false">
      <c r="B20" s="26" t="s">
        <v>121</v>
      </c>
    </row>
    <row r="21" customFormat="false" ht="7.5" hidden="false" customHeight="true" outlineLevel="0" collapsed="false">
      <c r="B21" s="24"/>
    </row>
    <row r="22" customFormat="false" ht="15.75" hidden="false" customHeight="true" outlineLevel="0" collapsed="false">
      <c r="B22" s="25" t="s">
        <v>122</v>
      </c>
    </row>
    <row r="23" customFormat="false" ht="15.75" hidden="false" customHeight="true" outlineLevel="0" collapsed="false">
      <c r="B23" s="26" t="s">
        <v>123</v>
      </c>
    </row>
    <row r="24" customFormat="false" ht="15.75" hidden="false" customHeight="true" outlineLevel="0" collapsed="false">
      <c r="B24" s="26" t="s">
        <v>124</v>
      </c>
    </row>
    <row r="25" customFormat="false" ht="7.5" hidden="false" customHeight="true" outlineLevel="0" collapsed="false">
      <c r="B25" s="24"/>
    </row>
    <row r="26" customFormat="false" ht="15.75" hidden="false" customHeight="true" outlineLevel="0" collapsed="false">
      <c r="B26" s="25" t="s">
        <v>125</v>
      </c>
    </row>
    <row r="27" customFormat="false" ht="15.75" hidden="false" customHeight="true" outlineLevel="0" collapsed="false">
      <c r="B27" s="26" t="s">
        <v>126</v>
      </c>
    </row>
    <row r="28" customFormat="false" ht="15.75" hidden="false" customHeight="true" outlineLevel="0" collapsed="false">
      <c r="B28" s="26" t="s">
        <v>127</v>
      </c>
    </row>
    <row r="29" customFormat="false" ht="15.75" hidden="false" customHeight="true" outlineLevel="0" collapsed="false">
      <c r="B29" s="26" t="s">
        <v>128</v>
      </c>
    </row>
    <row r="30" customFormat="false" ht="15.75" hidden="false" customHeight="true" outlineLevel="0" collapsed="false">
      <c r="B30" s="26" t="s">
        <v>129</v>
      </c>
    </row>
    <row r="31" customFormat="false" ht="15.75" hidden="false" customHeight="true" outlineLevel="0" collapsed="false">
      <c r="B31" s="26" t="s">
        <v>130</v>
      </c>
    </row>
    <row r="32" customFormat="false" ht="15.75" hidden="false" customHeight="true" outlineLevel="0" collapsed="false">
      <c r="B32" s="26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2026-05-06T16:43:07Z</dcterms:created>
  <dc:creator>openpyxl</dc:creator>
  <dc:description/>
  <dc:language>en-US</dc:language>
  <cp:lastModifiedBy/>
  <dcterms:modified xsi:type="dcterms:W3CDTF">2026-05-06T16:43:07Z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